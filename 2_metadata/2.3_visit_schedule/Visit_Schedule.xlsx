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eanm\Downloads\"/>
    </mc:Choice>
  </mc:AlternateContent>
  <xr:revisionPtr revIDLastSave="0" documentId="13_ncr:1_{65ABEF97-9FBA-415B-BF21-870DC89C8247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Visit_Schedule" sheetId="2" r:id="rId1"/>
    <sheet name="Procedure_Matrix" sheetId="3" r:id="rId2"/>
    <sheet name="Raw_Visit_Mapping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2" l="1"/>
  <c r="I8" i="2"/>
  <c r="J7" i="2"/>
  <c r="I7" i="2"/>
  <c r="J6" i="2"/>
  <c r="I6" i="2"/>
  <c r="J5" i="2"/>
  <c r="I5" i="2"/>
  <c r="J4" i="2"/>
  <c r="I4" i="2"/>
  <c r="J3" i="2"/>
  <c r="I3" i="2"/>
  <c r="J2" i="2"/>
  <c r="I2" i="2"/>
</calcChain>
</file>

<file path=xl/sharedStrings.xml><?xml version="1.0" encoding="utf-8"?>
<sst xmlns="http://schemas.openxmlformats.org/spreadsheetml/2006/main" count="281" uniqueCount="109">
  <si>
    <t>VISITNUM</t>
  </si>
  <si>
    <t>Nominal Study Day</t>
  </si>
  <si>
    <t>Epoch</t>
  </si>
  <si>
    <t>Visit Order</t>
  </si>
  <si>
    <t>Visit Code</t>
  </si>
  <si>
    <t>Standard VISIT</t>
  </si>
  <si>
    <t>Window Before (Days)</t>
  </si>
  <si>
    <t>Window After (Days)</t>
  </si>
  <si>
    <t>Earliest Study Day</t>
  </si>
  <si>
    <t>Latest Study Day</t>
  </si>
  <si>
    <t>Visit Type</t>
  </si>
  <si>
    <t>Required</t>
  </si>
  <si>
    <t>Reference Date</t>
  </si>
  <si>
    <t>Comments</t>
  </si>
  <si>
    <t>SCR</t>
  </si>
  <si>
    <t>Screening</t>
  </si>
  <si>
    <t>SCREENING</t>
  </si>
  <si>
    <t>PLANNED</t>
  </si>
  <si>
    <t>Y</t>
  </si>
  <si>
    <t>Informed Consent Date</t>
  </si>
  <si>
    <t>Screening target is Day -7, with an allowed window from Day -14 through Day -1.</t>
  </si>
  <si>
    <t>BL</t>
  </si>
  <si>
    <t>Baseline</t>
  </si>
  <si>
    <t>TREATMENT</t>
  </si>
  <si>
    <t>First Dose Date</t>
  </si>
  <si>
    <t>Baseline and first-dose procedures occur on Day 1.</t>
  </si>
  <si>
    <t>W04</t>
  </si>
  <si>
    <t>Week 4</t>
  </si>
  <si>
    <t>Target is 28 elapsed days after Day 1; SDTM study day is Day 29.</t>
  </si>
  <si>
    <t>W08</t>
  </si>
  <si>
    <t>Week 8</t>
  </si>
  <si>
    <t>Target is 56 elapsed days after Day 1; SDTM study day is Day 57.</t>
  </si>
  <si>
    <t>W12</t>
  </si>
  <si>
    <t>Week 12</t>
  </si>
  <si>
    <t>End-of-treatment visit.</t>
  </si>
  <si>
    <t>ET</t>
  </si>
  <si>
    <t>Early Termination</t>
  </si>
  <si>
    <t>CONTINGENT</t>
  </si>
  <si>
    <t>N</t>
  </si>
  <si>
    <t>Performed when a randomized subject discontinues before Week 12.</t>
  </si>
  <si>
    <t>UNS</t>
  </si>
  <si>
    <t>Unscheduled</t>
  </si>
  <si>
    <t>UNPLANNED</t>
  </si>
  <si>
    <t>May occur at any time when clinically required.</t>
  </si>
  <si>
    <t>Procedure / Assessment</t>
  </si>
  <si>
    <t>Raw Dataset / Source</t>
  </si>
  <si>
    <t>Programming Notes</t>
  </si>
  <si>
    <t>Informed Consent</t>
  </si>
  <si>
    <t>raw_dm.csv</t>
  </si>
  <si>
    <t>X</t>
  </si>
  <si>
    <t>Must occur before any study-specific procedure.</t>
  </si>
  <si>
    <t>Eligibility Assessment</t>
  </si>
  <si>
    <t>EDC / protocol</t>
  </si>
  <si>
    <t>Supports screen-failure determination.</t>
  </si>
  <si>
    <t>Demographics</t>
  </si>
  <si>
    <t>Mapped primarily to DM.</t>
  </si>
  <si>
    <t>Medical History</t>
  </si>
  <si>
    <t>Future raw_mh.csv</t>
  </si>
  <si>
    <t>Future MH domain.</t>
  </si>
  <si>
    <t>Randomization</t>
  </si>
  <si>
    <t>Randomization occurs at Baseline.</t>
  </si>
  <si>
    <t>Study Treatment Administration</t>
  </si>
  <si>
    <t>Future raw_ex.csv</t>
  </si>
  <si>
    <t>As applicable</t>
  </si>
  <si>
    <t>Future EX domain.</t>
  </si>
  <si>
    <t>Laboratory Tests</t>
  </si>
  <si>
    <t>raw_lb.csv</t>
  </si>
  <si>
    <t>As needed</t>
  </si>
  <si>
    <t>Mapped to LB.</t>
  </si>
  <si>
    <t>Vital Signs</t>
  </si>
  <si>
    <t>raw_vs.csv</t>
  </si>
  <si>
    <t>Mapped to VS.</t>
  </si>
  <si>
    <t>Adverse Event Review</t>
  </si>
  <si>
    <t>raw_ae.csv</t>
  </si>
  <si>
    <t>Mapped to AE; event dates need not equal visit dates.</t>
  </si>
  <si>
    <t>Concomitant Medication Review</t>
  </si>
  <si>
    <t>Future raw_cm.csv</t>
  </si>
  <si>
    <t>Future CM domain.</t>
  </si>
  <si>
    <t>Study Disposition</t>
  </si>
  <si>
    <t>raw_dm.csv / future raw_ds.csv</t>
  </si>
  <si>
    <t>Supports DM status and future DS domain.</t>
  </si>
  <si>
    <t>Raw Dataset</t>
  </si>
  <si>
    <t>Raw Variable</t>
  </si>
  <si>
    <t>Raw Visit Value</t>
  </si>
  <si>
    <t>Mapping Rule</t>
  </si>
  <si>
    <t>Status</t>
  </si>
  <si>
    <t>raw_lb.csv / raw_vs.csv</t>
  </si>
  <si>
    <t>visit_name</t>
  </si>
  <si>
    <t>Direct mapping</t>
  </si>
  <si>
    <t>Active</t>
  </si>
  <si>
    <t>BASELINE</t>
  </si>
  <si>
    <t>Case-insensitive mapping</t>
  </si>
  <si>
    <t>Day 1</t>
  </si>
  <si>
    <t>Equivalent protocol visit</t>
  </si>
  <si>
    <t>Abbreviation mapping</t>
  </si>
  <si>
    <t>WEEK 4</t>
  </si>
  <si>
    <t>Wk 4</t>
  </si>
  <si>
    <t>Week4</t>
  </si>
  <si>
    <t>Insert missing space</t>
  </si>
  <si>
    <t>WEEK 8</t>
  </si>
  <si>
    <t>Wk8</t>
  </si>
  <si>
    <t>Week 08</t>
  </si>
  <si>
    <t>Remove leading zero</t>
  </si>
  <si>
    <t>WEEK 12</t>
  </si>
  <si>
    <t>Wk 12</t>
  </si>
  <si>
    <t>Week12</t>
  </si>
  <si>
    <t>Future EDC export</t>
  </si>
  <si>
    <t>Planned</t>
  </si>
  <si>
    <t>An occurrence number may be required for repeated unscheduled visits.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</si>
</sst>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1" fontId="3" fillId="0" borderId="0" xfId="0" applyNumberFormat="1" applyFont="1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/>
    <xf numFmtId="0" fontId="1" fillId="0" borderId="0" xfId="0" applyFont="1" applyFill="1" applyAlignment="1">
      <alignment vertical="center" wrapText="1"/>
    </xf>
    <xf numFmtId="0" fontId="4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top" wrapText="1"/>
    </xf>
  </cellXfs>
  <cellStyles count="1">
    <cellStyle name="Normal" xfId="0" builtinId="0"/>
  </cellStyles>
  <dxfs count="47">
    <dxf>
      <font>
        <color rgb="FF7F6000"/>
      </font>
      <fill>
        <patternFill>
          <bgColor rgb="FFFFF2CC"/>
        </patternFill>
      </fill>
    </dxf>
    <dxf>
      <font>
        <color rgb="FF274E13"/>
      </font>
      <fill>
        <patternFill>
          <bgColor rgb="FFD9EAD3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274E13"/>
      </font>
      <fill>
        <patternFill>
          <bgColor rgb="FFD9EAD3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isitScheduleTable" displayName="VisitScheduleTable" ref="A1:N8" headerRowDxfId="46" dataDxfId="45" totalsRowDxfId="44">
  <tableColumns count="14">
    <tableColumn id="1" xr3:uid="{00000000-0010-0000-0000-000001000000}" name="Visit Order" dataDxfId="43"/>
    <tableColumn id="2" xr3:uid="{00000000-0010-0000-0000-000002000000}" name="Visit Code" dataDxfId="42"/>
    <tableColumn id="3" xr3:uid="{00000000-0010-0000-0000-000003000000}" name="VISITNUM" dataDxfId="41"/>
    <tableColumn id="4" xr3:uid="{00000000-0010-0000-0000-000004000000}" name="Standard VISIT" dataDxfId="40"/>
    <tableColumn id="5" xr3:uid="{00000000-0010-0000-0000-000005000000}" name="Epoch" dataDxfId="39"/>
    <tableColumn id="6" xr3:uid="{00000000-0010-0000-0000-000006000000}" name="Nominal Study Day" dataDxfId="38"/>
    <tableColumn id="7" xr3:uid="{00000000-0010-0000-0000-000007000000}" name="Window Before (Days)" dataDxfId="37"/>
    <tableColumn id="8" xr3:uid="{00000000-0010-0000-0000-000008000000}" name="Window After (Days)" dataDxfId="36"/>
    <tableColumn id="9" xr3:uid="{00000000-0010-0000-0000-000009000000}" name="Earliest Study Day" dataDxfId="35"/>
    <tableColumn id="10" xr3:uid="{00000000-0010-0000-0000-00000A000000}" name="Latest Study Day" dataDxfId="34"/>
    <tableColumn id="11" xr3:uid="{00000000-0010-0000-0000-00000B000000}" name="Visit Type" dataDxfId="33"/>
    <tableColumn id="12" xr3:uid="{00000000-0010-0000-0000-00000C000000}" name="Required" dataDxfId="32"/>
    <tableColumn id="13" xr3:uid="{00000000-0010-0000-0000-00000D000000}" name="Reference Date" dataDxfId="31"/>
    <tableColumn id="14" xr3:uid="{00000000-0010-0000-0000-00000E000000}" name="Comments" dataDxfId="3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cedureMatrixTable" displayName="ProcedureMatrixTable" ref="A1:J12" headerRowDxfId="16" dataDxfId="14" totalsRowDxfId="15">
  <autoFilter ref="A1:J12" xr:uid="{00000000-000C-0000-FFFF-FFFF01000000}"/>
  <tableColumns count="10">
    <tableColumn id="1" xr3:uid="{00000000-0010-0000-0100-000001000000}" name="Procedure / Assessment" dataDxfId="26"/>
    <tableColumn id="2" xr3:uid="{00000000-0010-0000-0100-000002000000}" name="Raw Dataset / Source" dataDxfId="25"/>
    <tableColumn id="3" xr3:uid="{00000000-0010-0000-0100-000003000000}" name="Screening" dataDxfId="24"/>
    <tableColumn id="4" xr3:uid="{00000000-0010-0000-0100-000004000000}" name="Baseline" dataDxfId="23"/>
    <tableColumn id="5" xr3:uid="{00000000-0010-0000-0100-000005000000}" name="Week 4" dataDxfId="22"/>
    <tableColumn id="6" xr3:uid="{00000000-0010-0000-0100-000006000000}" name="Week 8" dataDxfId="21"/>
    <tableColumn id="7" xr3:uid="{00000000-0010-0000-0100-000007000000}" name="Week 12" dataDxfId="20"/>
    <tableColumn id="8" xr3:uid="{00000000-0010-0000-0100-000008000000}" name="Early Termination" dataDxfId="19"/>
    <tableColumn id="9" xr3:uid="{00000000-0010-0000-0100-000009000000}" name="Unscheduled" dataDxfId="18"/>
    <tableColumn id="10" xr3:uid="{00000000-0010-0000-0100-00000A000000}" name="Programming Notes" dataDxfId="17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awVisitMappingTable" displayName="RawVisitMappingTable" ref="A1:I19" headerRowDxfId="4" dataDxfId="2" totalsRowDxfId="3">
  <autoFilter ref="A1:I19" xr:uid="{00000000-000C-0000-FFFF-FFFF02000000}"/>
  <tableColumns count="9">
    <tableColumn id="1" xr3:uid="{00000000-0010-0000-0200-000001000000}" name="Raw Dataset" dataDxfId="13"/>
    <tableColumn id="2" xr3:uid="{00000000-0010-0000-0200-000002000000}" name="Raw Variable" dataDxfId="12"/>
    <tableColumn id="3" xr3:uid="{00000000-0010-0000-0200-000003000000}" name="Raw Visit Value" dataDxfId="11"/>
    <tableColumn id="4" xr3:uid="{00000000-0010-0000-0200-000004000000}" name="Standard VISIT" dataDxfId="10"/>
    <tableColumn id="5" xr3:uid="{00000000-0010-0000-0200-000005000000}" name="VISITNUM" dataDxfId="9"/>
    <tableColumn id="6" xr3:uid="{00000000-0010-0000-0200-000006000000}" name="Visit Code" dataDxfId="8"/>
    <tableColumn id="7" xr3:uid="{00000000-0010-0000-0200-000007000000}" name="Mapping Rule" dataDxfId="7"/>
    <tableColumn id="8" xr3:uid="{00000000-0010-0000-0200-000008000000}" name="Status" dataDxfId="6"/>
    <tableColumn id="9" xr3:uid="{00000000-0010-0000-0200-000009000000}" name="Comments" dataDxfId="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"/>
  <sheetViews>
    <sheetView topLeftCell="D1" workbookViewId="0">
      <selection activeCell="F13" sqref="F12:F13"/>
    </sheetView>
  </sheetViews>
  <sheetFormatPr defaultRowHeight="15" customHeight="1"/>
  <cols>
    <col min="1" max="2" width="12" style="2" customWidth="1"/>
    <col min="3" max="3" width="11" style="2" customWidth="1"/>
    <col min="4" max="4" width="21" style="2" customWidth="1"/>
    <col min="5" max="5" width="16" style="2" customWidth="1"/>
    <col min="6" max="8" width="18" style="2" customWidth="1"/>
    <col min="9" max="10" width="17" style="2" customWidth="1"/>
    <col min="11" max="11" width="15" style="2" customWidth="1"/>
    <col min="12" max="12" width="11" style="2" customWidth="1"/>
    <col min="13" max="13" width="22" style="2" customWidth="1"/>
    <col min="14" max="14" width="53" style="2" customWidth="1"/>
    <col min="15" max="16384" width="9" style="2"/>
  </cols>
  <sheetData>
    <row r="1" spans="1:14" ht="15" customHeight="1">
      <c r="A1" s="1" t="s">
        <v>3</v>
      </c>
      <c r="B1" s="1" t="s">
        <v>4</v>
      </c>
      <c r="C1" s="1" t="s">
        <v>0</v>
      </c>
      <c r="D1" s="1" t="s">
        <v>5</v>
      </c>
      <c r="E1" s="1" t="s">
        <v>2</v>
      </c>
      <c r="F1" s="1" t="s">
        <v>1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customHeight="1">
      <c r="A2" s="3">
        <v>1</v>
      </c>
      <c r="B2" s="4" t="s">
        <v>14</v>
      </c>
      <c r="C2" s="3">
        <v>-10</v>
      </c>
      <c r="D2" s="4" t="s">
        <v>15</v>
      </c>
      <c r="E2" s="4" t="s">
        <v>16</v>
      </c>
      <c r="F2" s="3">
        <v>-7</v>
      </c>
      <c r="G2" s="3">
        <v>7</v>
      </c>
      <c r="H2" s="3">
        <v>6</v>
      </c>
      <c r="I2" s="3">
        <f t="shared" ref="I2:I8" si="0">IF(COUNT(F2,G2)&lt;2,"",F2-G2)</f>
        <v>-14</v>
      </c>
      <c r="J2" s="3">
        <f t="shared" ref="J2:J8" si="1">IF(COUNT(F2,H2)&lt;2,"",F2+H2)</f>
        <v>-1</v>
      </c>
      <c r="K2" s="4" t="s">
        <v>17</v>
      </c>
      <c r="L2" s="4" t="s">
        <v>18</v>
      </c>
      <c r="M2" s="4" t="s">
        <v>19</v>
      </c>
      <c r="N2" s="4" t="s">
        <v>20</v>
      </c>
    </row>
    <row r="3" spans="1:14" ht="15" customHeight="1">
      <c r="A3" s="3">
        <v>2</v>
      </c>
      <c r="B3" s="4" t="s">
        <v>21</v>
      </c>
      <c r="C3" s="3">
        <v>1</v>
      </c>
      <c r="D3" s="4" t="s">
        <v>22</v>
      </c>
      <c r="E3" s="4" t="s">
        <v>23</v>
      </c>
      <c r="F3" s="3">
        <v>1</v>
      </c>
      <c r="G3" s="3">
        <v>0</v>
      </c>
      <c r="H3" s="3">
        <v>0</v>
      </c>
      <c r="I3" s="3">
        <f t="shared" si="0"/>
        <v>1</v>
      </c>
      <c r="J3" s="3">
        <f t="shared" si="1"/>
        <v>1</v>
      </c>
      <c r="K3" s="4" t="s">
        <v>17</v>
      </c>
      <c r="L3" s="4" t="s">
        <v>18</v>
      </c>
      <c r="M3" s="4" t="s">
        <v>24</v>
      </c>
      <c r="N3" s="4" t="s">
        <v>25</v>
      </c>
    </row>
    <row r="4" spans="1:14" ht="15" customHeight="1">
      <c r="A4" s="3">
        <v>3</v>
      </c>
      <c r="B4" s="4" t="s">
        <v>26</v>
      </c>
      <c r="C4" s="3">
        <v>4</v>
      </c>
      <c r="D4" s="4" t="s">
        <v>27</v>
      </c>
      <c r="E4" s="4" t="s">
        <v>23</v>
      </c>
      <c r="F4" s="3">
        <v>29</v>
      </c>
      <c r="G4" s="3">
        <v>3</v>
      </c>
      <c r="H4" s="3">
        <v>3</v>
      </c>
      <c r="I4" s="3">
        <f t="shared" si="0"/>
        <v>26</v>
      </c>
      <c r="J4" s="3">
        <f t="shared" si="1"/>
        <v>32</v>
      </c>
      <c r="K4" s="4" t="s">
        <v>17</v>
      </c>
      <c r="L4" s="4" t="s">
        <v>18</v>
      </c>
      <c r="M4" s="4" t="s">
        <v>24</v>
      </c>
      <c r="N4" s="4" t="s">
        <v>28</v>
      </c>
    </row>
    <row r="5" spans="1:14" ht="15" customHeight="1">
      <c r="A5" s="3">
        <v>4</v>
      </c>
      <c r="B5" s="4" t="s">
        <v>29</v>
      </c>
      <c r="C5" s="3">
        <v>8</v>
      </c>
      <c r="D5" s="4" t="s">
        <v>30</v>
      </c>
      <c r="E5" s="4" t="s">
        <v>23</v>
      </c>
      <c r="F5" s="3">
        <v>57</v>
      </c>
      <c r="G5" s="3">
        <v>4</v>
      </c>
      <c r="H5" s="3">
        <v>4</v>
      </c>
      <c r="I5" s="3">
        <f t="shared" si="0"/>
        <v>53</v>
      </c>
      <c r="J5" s="3">
        <f t="shared" si="1"/>
        <v>61</v>
      </c>
      <c r="K5" s="4" t="s">
        <v>17</v>
      </c>
      <c r="L5" s="4" t="s">
        <v>18</v>
      </c>
      <c r="M5" s="4" t="s">
        <v>24</v>
      </c>
      <c r="N5" s="4" t="s">
        <v>31</v>
      </c>
    </row>
    <row r="6" spans="1:14" ht="15" customHeight="1">
      <c r="A6" s="3">
        <v>5</v>
      </c>
      <c r="B6" s="4" t="s">
        <v>32</v>
      </c>
      <c r="C6" s="3">
        <v>12</v>
      </c>
      <c r="D6" s="4" t="s">
        <v>33</v>
      </c>
      <c r="E6" s="4" t="s">
        <v>23</v>
      </c>
      <c r="F6" s="3">
        <v>85</v>
      </c>
      <c r="G6" s="3">
        <v>5</v>
      </c>
      <c r="H6" s="3">
        <v>5</v>
      </c>
      <c r="I6" s="3">
        <f t="shared" si="0"/>
        <v>80</v>
      </c>
      <c r="J6" s="3">
        <f t="shared" si="1"/>
        <v>90</v>
      </c>
      <c r="K6" s="4" t="s">
        <v>17</v>
      </c>
      <c r="L6" s="4" t="s">
        <v>18</v>
      </c>
      <c r="M6" s="4" t="s">
        <v>24</v>
      </c>
      <c r="N6" s="4" t="s">
        <v>34</v>
      </c>
    </row>
    <row r="7" spans="1:14" ht="15" customHeight="1">
      <c r="A7" s="3">
        <v>6</v>
      </c>
      <c r="B7" s="4" t="s">
        <v>35</v>
      </c>
      <c r="C7" s="3">
        <v>90</v>
      </c>
      <c r="D7" s="4" t="s">
        <v>36</v>
      </c>
      <c r="E7" s="4" t="s">
        <v>23</v>
      </c>
      <c r="F7" s="3"/>
      <c r="G7" s="3"/>
      <c r="H7" s="3"/>
      <c r="I7" s="3" t="str">
        <f t="shared" si="0"/>
        <v/>
      </c>
      <c r="J7" s="3" t="str">
        <f t="shared" si="1"/>
        <v/>
      </c>
      <c r="K7" s="4" t="s">
        <v>37</v>
      </c>
      <c r="L7" s="4" t="s">
        <v>38</v>
      </c>
      <c r="M7" s="4" t="s">
        <v>24</v>
      </c>
      <c r="N7" s="4" t="s">
        <v>39</v>
      </c>
    </row>
    <row r="8" spans="1:14" ht="15" customHeight="1">
      <c r="A8" s="3">
        <v>7</v>
      </c>
      <c r="B8" s="4" t="s">
        <v>40</v>
      </c>
      <c r="C8" s="3">
        <v>99</v>
      </c>
      <c r="D8" s="4" t="s">
        <v>41</v>
      </c>
      <c r="E8" s="4" t="s">
        <v>23</v>
      </c>
      <c r="F8" s="3"/>
      <c r="G8" s="3"/>
      <c r="H8" s="3"/>
      <c r="I8" s="3" t="str">
        <f t="shared" si="0"/>
        <v/>
      </c>
      <c r="J8" s="3" t="str">
        <f t="shared" si="1"/>
        <v/>
      </c>
      <c r="K8" s="4" t="s">
        <v>42</v>
      </c>
      <c r="L8" s="4" t="s">
        <v>38</v>
      </c>
      <c r="M8" s="4" t="s">
        <v>24</v>
      </c>
      <c r="N8" s="4" t="s">
        <v>43</v>
      </c>
    </row>
  </sheetData>
  <dataValidations count="3">
    <dataValidation type="list" sqref="K2:K8" xr:uid="{00000000-0002-0000-0100-000000000000}">
      <formula1>"PLANNED,CONTINGENT,UNPLANNED"</formula1>
    </dataValidation>
    <dataValidation type="list" sqref="L2:L8" xr:uid="{00000000-0002-0000-0100-000001000000}">
      <formula1>"Y,N"</formula1>
    </dataValidation>
    <dataValidation type="list" sqref="E2:E8" xr:uid="{00000000-0002-0000-0100-000002000000}">
      <formula1>"SCREENING,TREATMENT,FOLLOW-UP"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"/>
  <sheetViews>
    <sheetView workbookViewId="0">
      <pane ySplit="1" topLeftCell="A2" activePane="bottomLeft" state="frozen"/>
      <selection pane="bottomLeft" activeCell="F17" sqref="F17"/>
    </sheetView>
  </sheetViews>
  <sheetFormatPr defaultRowHeight="15" customHeight="1"/>
  <cols>
    <col min="1" max="1" width="30" style="6" customWidth="1"/>
    <col min="2" max="2" width="25" style="6" customWidth="1"/>
    <col min="3" max="9" width="17" style="6" customWidth="1"/>
    <col min="10" max="10" width="52" style="6" customWidth="1"/>
    <col min="11" max="16384" width="9" style="6"/>
  </cols>
  <sheetData>
    <row r="1" spans="1:10" ht="15" customHeight="1">
      <c r="A1" s="5" t="s">
        <v>44</v>
      </c>
      <c r="B1" s="5" t="s">
        <v>45</v>
      </c>
      <c r="C1" s="5" t="s">
        <v>15</v>
      </c>
      <c r="D1" s="5" t="s">
        <v>22</v>
      </c>
      <c r="E1" s="5" t="s">
        <v>27</v>
      </c>
      <c r="F1" s="5" t="s">
        <v>30</v>
      </c>
      <c r="G1" s="5" t="s">
        <v>33</v>
      </c>
      <c r="H1" s="5" t="s">
        <v>36</v>
      </c>
      <c r="I1" s="5" t="s">
        <v>41</v>
      </c>
      <c r="J1" s="5" t="s">
        <v>46</v>
      </c>
    </row>
    <row r="2" spans="1:10" ht="15" customHeight="1">
      <c r="A2" s="7" t="s">
        <v>47</v>
      </c>
      <c r="B2" s="7" t="s">
        <v>48</v>
      </c>
      <c r="C2" s="5" t="s">
        <v>49</v>
      </c>
      <c r="D2" s="5"/>
      <c r="E2" s="5"/>
      <c r="F2" s="5"/>
      <c r="G2" s="5"/>
      <c r="H2" s="5"/>
      <c r="I2" s="5"/>
      <c r="J2" s="7" t="s">
        <v>50</v>
      </c>
    </row>
    <row r="3" spans="1:10" ht="15" customHeight="1">
      <c r="A3" s="7" t="s">
        <v>51</v>
      </c>
      <c r="B3" s="7" t="s">
        <v>52</v>
      </c>
      <c r="C3" s="5" t="s">
        <v>49</v>
      </c>
      <c r="D3" s="5"/>
      <c r="E3" s="5"/>
      <c r="F3" s="5"/>
      <c r="G3" s="5"/>
      <c r="H3" s="5"/>
      <c r="I3" s="5"/>
      <c r="J3" s="7" t="s">
        <v>53</v>
      </c>
    </row>
    <row r="4" spans="1:10" ht="15" customHeight="1">
      <c r="A4" s="7" t="s">
        <v>54</v>
      </c>
      <c r="B4" s="7" t="s">
        <v>48</v>
      </c>
      <c r="C4" s="5" t="s">
        <v>49</v>
      </c>
      <c r="D4" s="5"/>
      <c r="E4" s="5"/>
      <c r="F4" s="5"/>
      <c r="G4" s="5"/>
      <c r="H4" s="5"/>
      <c r="I4" s="5"/>
      <c r="J4" s="7" t="s">
        <v>55</v>
      </c>
    </row>
    <row r="5" spans="1:10" ht="15" customHeight="1">
      <c r="A5" s="7" t="s">
        <v>56</v>
      </c>
      <c r="B5" s="7" t="s">
        <v>57</v>
      </c>
      <c r="C5" s="5" t="s">
        <v>49</v>
      </c>
      <c r="D5" s="5"/>
      <c r="E5" s="5"/>
      <c r="F5" s="5"/>
      <c r="G5" s="5"/>
      <c r="H5" s="5"/>
      <c r="I5" s="5"/>
      <c r="J5" s="7" t="s">
        <v>58</v>
      </c>
    </row>
    <row r="6" spans="1:10" ht="15" customHeight="1">
      <c r="A6" s="7" t="s">
        <v>59</v>
      </c>
      <c r="B6" s="7" t="s">
        <v>48</v>
      </c>
      <c r="C6" s="5"/>
      <c r="D6" s="5" t="s">
        <v>49</v>
      </c>
      <c r="E6" s="5"/>
      <c r="F6" s="5"/>
      <c r="G6" s="5"/>
      <c r="H6" s="5"/>
      <c r="I6" s="5"/>
      <c r="J6" s="7" t="s">
        <v>60</v>
      </c>
    </row>
    <row r="7" spans="1:10" ht="15" customHeight="1">
      <c r="A7" s="7" t="s">
        <v>61</v>
      </c>
      <c r="B7" s="7" t="s">
        <v>62</v>
      </c>
      <c r="C7" s="5"/>
      <c r="D7" s="5" t="s">
        <v>49</v>
      </c>
      <c r="E7" s="5" t="s">
        <v>49</v>
      </c>
      <c r="F7" s="5" t="s">
        <v>49</v>
      </c>
      <c r="G7" s="5" t="s">
        <v>49</v>
      </c>
      <c r="H7" s="5" t="s">
        <v>63</v>
      </c>
      <c r="I7" s="5"/>
      <c r="J7" s="7" t="s">
        <v>64</v>
      </c>
    </row>
    <row r="8" spans="1:10" ht="15" customHeight="1">
      <c r="A8" s="7" t="s">
        <v>65</v>
      </c>
      <c r="B8" s="7" t="s">
        <v>66</v>
      </c>
      <c r="C8" s="5" t="s">
        <v>49</v>
      </c>
      <c r="D8" s="5" t="s">
        <v>49</v>
      </c>
      <c r="E8" s="5" t="s">
        <v>49</v>
      </c>
      <c r="F8" s="5" t="s">
        <v>49</v>
      </c>
      <c r="G8" s="5" t="s">
        <v>49</v>
      </c>
      <c r="H8" s="5" t="s">
        <v>49</v>
      </c>
      <c r="I8" s="5" t="s">
        <v>67</v>
      </c>
      <c r="J8" s="7" t="s">
        <v>68</v>
      </c>
    </row>
    <row r="9" spans="1:10" ht="15" customHeight="1">
      <c r="A9" s="7" t="s">
        <v>69</v>
      </c>
      <c r="B9" s="7" t="s">
        <v>70</v>
      </c>
      <c r="C9" s="5" t="s">
        <v>49</v>
      </c>
      <c r="D9" s="5" t="s">
        <v>49</v>
      </c>
      <c r="E9" s="5" t="s">
        <v>49</v>
      </c>
      <c r="F9" s="5" t="s">
        <v>49</v>
      </c>
      <c r="G9" s="5" t="s">
        <v>49</v>
      </c>
      <c r="H9" s="5" t="s">
        <v>49</v>
      </c>
      <c r="I9" s="5" t="s">
        <v>67</v>
      </c>
      <c r="J9" s="7" t="s">
        <v>71</v>
      </c>
    </row>
    <row r="10" spans="1:10" ht="15" customHeight="1">
      <c r="A10" s="7" t="s">
        <v>72</v>
      </c>
      <c r="B10" s="7" t="s">
        <v>73</v>
      </c>
      <c r="C10" s="5"/>
      <c r="D10" s="5" t="s">
        <v>49</v>
      </c>
      <c r="E10" s="5" t="s">
        <v>49</v>
      </c>
      <c r="F10" s="5" t="s">
        <v>49</v>
      </c>
      <c r="G10" s="5" t="s">
        <v>49</v>
      </c>
      <c r="H10" s="5" t="s">
        <v>49</v>
      </c>
      <c r="I10" s="5" t="s">
        <v>49</v>
      </c>
      <c r="J10" s="7" t="s">
        <v>74</v>
      </c>
    </row>
    <row r="11" spans="1:10" ht="15" customHeight="1">
      <c r="A11" s="7" t="s">
        <v>75</v>
      </c>
      <c r="B11" s="7" t="s">
        <v>76</v>
      </c>
      <c r="C11" s="5" t="s">
        <v>49</v>
      </c>
      <c r="D11" s="5" t="s">
        <v>49</v>
      </c>
      <c r="E11" s="5" t="s">
        <v>49</v>
      </c>
      <c r="F11" s="5" t="s">
        <v>49</v>
      </c>
      <c r="G11" s="5" t="s">
        <v>49</v>
      </c>
      <c r="H11" s="5" t="s">
        <v>49</v>
      </c>
      <c r="I11" s="5" t="s">
        <v>49</v>
      </c>
      <c r="J11" s="7" t="s">
        <v>77</v>
      </c>
    </row>
    <row r="12" spans="1:10" ht="30">
      <c r="A12" s="7" t="s">
        <v>78</v>
      </c>
      <c r="B12" s="7" t="s">
        <v>79</v>
      </c>
      <c r="C12" s="5"/>
      <c r="D12" s="5"/>
      <c r="E12" s="5"/>
      <c r="F12" s="5"/>
      <c r="G12" s="5" t="s">
        <v>49</v>
      </c>
      <c r="H12" s="5" t="s">
        <v>49</v>
      </c>
      <c r="I12" s="5"/>
      <c r="J12" s="7" t="s">
        <v>80</v>
      </c>
    </row>
  </sheetData>
  <conditionalFormatting sqref="C2:I12">
    <cfRule type="expression" dxfId="29" priority="1">
      <formula>C2="X"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"/>
  <sheetViews>
    <sheetView tabSelected="1" workbookViewId="0">
      <pane ySplit="1" topLeftCell="A2" activePane="bottomLeft" state="frozen"/>
      <selection pane="bottomLeft" activeCell="D10" sqref="D10"/>
    </sheetView>
  </sheetViews>
  <sheetFormatPr defaultRowHeight="15" customHeight="1"/>
  <cols>
    <col min="1" max="1" width="27" style="6" customWidth="1"/>
    <col min="2" max="2" width="18" style="6" customWidth="1"/>
    <col min="3" max="4" width="22" style="6" customWidth="1"/>
    <col min="5" max="5" width="12" style="6" customWidth="1"/>
    <col min="6" max="6" width="13" style="6" customWidth="1"/>
    <col min="7" max="7" width="31" style="6" customWidth="1"/>
    <col min="8" max="8" width="17" style="6" customWidth="1"/>
    <col min="9" max="9" width="48" style="6" customWidth="1"/>
    <col min="10" max="16384" width="9" style="6"/>
  </cols>
  <sheetData>
    <row r="1" spans="1:9" ht="15" customHeight="1">
      <c r="A1" s="8" t="s">
        <v>81</v>
      </c>
      <c r="B1" s="8" t="s">
        <v>82</v>
      </c>
      <c r="C1" s="8" t="s">
        <v>83</v>
      </c>
      <c r="D1" s="8" t="s">
        <v>5</v>
      </c>
      <c r="E1" s="8" t="s">
        <v>0</v>
      </c>
      <c r="F1" s="8" t="s">
        <v>4</v>
      </c>
      <c r="G1" s="8" t="s">
        <v>84</v>
      </c>
      <c r="H1" s="8" t="s">
        <v>85</v>
      </c>
      <c r="I1" s="8" t="s">
        <v>13</v>
      </c>
    </row>
    <row r="2" spans="1:9" ht="15" customHeight="1">
      <c r="A2" s="9" t="s">
        <v>86</v>
      </c>
      <c r="B2" s="9" t="s">
        <v>87</v>
      </c>
      <c r="C2" s="9" t="s">
        <v>22</v>
      </c>
      <c r="D2" s="9" t="s">
        <v>22</v>
      </c>
      <c r="E2" s="9">
        <v>1</v>
      </c>
      <c r="F2" s="9" t="s">
        <v>21</v>
      </c>
      <c r="G2" s="9" t="s">
        <v>88</v>
      </c>
      <c r="H2" s="9" t="s">
        <v>89</v>
      </c>
      <c r="I2" s="9"/>
    </row>
    <row r="3" spans="1:9" ht="15" customHeight="1">
      <c r="A3" s="9" t="s">
        <v>86</v>
      </c>
      <c r="B3" s="9" t="s">
        <v>87</v>
      </c>
      <c r="C3" s="9" t="s">
        <v>90</v>
      </c>
      <c r="D3" s="9" t="s">
        <v>22</v>
      </c>
      <c r="E3" s="9">
        <v>1</v>
      </c>
      <c r="F3" s="9" t="s">
        <v>21</v>
      </c>
      <c r="G3" s="9" t="s">
        <v>91</v>
      </c>
      <c r="H3" s="9" t="s">
        <v>89</v>
      </c>
      <c r="I3" s="9"/>
    </row>
    <row r="4" spans="1:9" ht="15" customHeight="1">
      <c r="A4" s="9" t="s">
        <v>86</v>
      </c>
      <c r="B4" s="9" t="s">
        <v>87</v>
      </c>
      <c r="C4" s="9" t="s">
        <v>92</v>
      </c>
      <c r="D4" s="9" t="s">
        <v>22</v>
      </c>
      <c r="E4" s="9">
        <v>1</v>
      </c>
      <c r="F4" s="9" t="s">
        <v>21</v>
      </c>
      <c r="G4" s="9" t="s">
        <v>93</v>
      </c>
      <c r="H4" s="9" t="s">
        <v>89</v>
      </c>
      <c r="I4" s="9"/>
    </row>
    <row r="5" spans="1:9" ht="15" customHeight="1">
      <c r="A5" s="9" t="s">
        <v>86</v>
      </c>
      <c r="B5" s="9" t="s">
        <v>87</v>
      </c>
      <c r="C5" s="9" t="s">
        <v>21</v>
      </c>
      <c r="D5" s="9" t="s">
        <v>22</v>
      </c>
      <c r="E5" s="9">
        <v>1</v>
      </c>
      <c r="F5" s="9" t="s">
        <v>21</v>
      </c>
      <c r="G5" s="9" t="s">
        <v>94</v>
      </c>
      <c r="H5" s="9" t="s">
        <v>89</v>
      </c>
      <c r="I5" s="9"/>
    </row>
    <row r="6" spans="1:9" ht="15" customHeight="1">
      <c r="A6" s="9" t="s">
        <v>86</v>
      </c>
      <c r="B6" s="9" t="s">
        <v>87</v>
      </c>
      <c r="C6" s="9" t="s">
        <v>27</v>
      </c>
      <c r="D6" s="9" t="s">
        <v>27</v>
      </c>
      <c r="E6" s="9">
        <v>4</v>
      </c>
      <c r="F6" s="9" t="s">
        <v>26</v>
      </c>
      <c r="G6" s="9" t="s">
        <v>88</v>
      </c>
      <c r="H6" s="9" t="s">
        <v>89</v>
      </c>
      <c r="I6" s="9"/>
    </row>
    <row r="7" spans="1:9" ht="15" customHeight="1">
      <c r="A7" s="9" t="s">
        <v>86</v>
      </c>
      <c r="B7" s="9" t="s">
        <v>87</v>
      </c>
      <c r="C7" s="9" t="s">
        <v>95</v>
      </c>
      <c r="D7" s="9" t="s">
        <v>27</v>
      </c>
      <c r="E7" s="9">
        <v>4</v>
      </c>
      <c r="F7" s="9" t="s">
        <v>26</v>
      </c>
      <c r="G7" s="9" t="s">
        <v>91</v>
      </c>
      <c r="H7" s="9" t="s">
        <v>89</v>
      </c>
      <c r="I7" s="9"/>
    </row>
    <row r="8" spans="1:9" ht="15" customHeight="1">
      <c r="A8" s="9" t="s">
        <v>86</v>
      </c>
      <c r="B8" s="9" t="s">
        <v>87</v>
      </c>
      <c r="C8" s="9" t="s">
        <v>96</v>
      </c>
      <c r="D8" s="9" t="s">
        <v>27</v>
      </c>
      <c r="E8" s="9">
        <v>4</v>
      </c>
      <c r="F8" s="9" t="s">
        <v>26</v>
      </c>
      <c r="G8" s="9" t="s">
        <v>94</v>
      </c>
      <c r="H8" s="9" t="s">
        <v>89</v>
      </c>
      <c r="I8" s="9"/>
    </row>
    <row r="9" spans="1:9" ht="15" customHeight="1">
      <c r="A9" s="9" t="s">
        <v>86</v>
      </c>
      <c r="B9" s="9" t="s">
        <v>87</v>
      </c>
      <c r="C9" s="9" t="s">
        <v>97</v>
      </c>
      <c r="D9" s="9" t="s">
        <v>27</v>
      </c>
      <c r="E9" s="9">
        <v>4</v>
      </c>
      <c r="F9" s="9" t="s">
        <v>26</v>
      </c>
      <c r="G9" s="9" t="s">
        <v>98</v>
      </c>
      <c r="H9" s="9" t="s">
        <v>89</v>
      </c>
      <c r="I9" s="9"/>
    </row>
    <row r="10" spans="1:9" ht="15" customHeight="1">
      <c r="A10" s="9" t="s">
        <v>86</v>
      </c>
      <c r="B10" s="9" t="s">
        <v>87</v>
      </c>
      <c r="C10" s="9" t="s">
        <v>30</v>
      </c>
      <c r="D10" s="9" t="s">
        <v>30</v>
      </c>
      <c r="E10" s="9">
        <v>8</v>
      </c>
      <c r="F10" s="9" t="s">
        <v>29</v>
      </c>
      <c r="G10" s="9" t="s">
        <v>88</v>
      </c>
      <c r="H10" s="9" t="s">
        <v>89</v>
      </c>
      <c r="I10" s="9"/>
    </row>
    <row r="11" spans="1:9" ht="15" customHeight="1">
      <c r="A11" s="9" t="s">
        <v>86</v>
      </c>
      <c r="B11" s="9" t="s">
        <v>87</v>
      </c>
      <c r="C11" s="9" t="s">
        <v>99</v>
      </c>
      <c r="D11" s="9" t="s">
        <v>30</v>
      </c>
      <c r="E11" s="9">
        <v>8</v>
      </c>
      <c r="F11" s="9" t="s">
        <v>29</v>
      </c>
      <c r="G11" s="9" t="s">
        <v>91</v>
      </c>
      <c r="H11" s="9" t="s">
        <v>89</v>
      </c>
      <c r="I11" s="9"/>
    </row>
    <row r="12" spans="1:9" ht="15" customHeight="1">
      <c r="A12" s="9" t="s">
        <v>86</v>
      </c>
      <c r="B12" s="9" t="s">
        <v>87</v>
      </c>
      <c r="C12" s="9" t="s">
        <v>100</v>
      </c>
      <c r="D12" s="9" t="s">
        <v>30</v>
      </c>
      <c r="E12" s="9">
        <v>8</v>
      </c>
      <c r="F12" s="9" t="s">
        <v>29</v>
      </c>
      <c r="G12" s="9" t="s">
        <v>94</v>
      </c>
      <c r="H12" s="9" t="s">
        <v>89</v>
      </c>
      <c r="I12" s="9"/>
    </row>
    <row r="13" spans="1:9" ht="15" customHeight="1">
      <c r="A13" s="9" t="s">
        <v>86</v>
      </c>
      <c r="B13" s="9" t="s">
        <v>87</v>
      </c>
      <c r="C13" s="9" t="s">
        <v>101</v>
      </c>
      <c r="D13" s="9" t="s">
        <v>30</v>
      </c>
      <c r="E13" s="9">
        <v>8</v>
      </c>
      <c r="F13" s="9" t="s">
        <v>29</v>
      </c>
      <c r="G13" s="9" t="s">
        <v>102</v>
      </c>
      <c r="H13" s="9" t="s">
        <v>89</v>
      </c>
      <c r="I13" s="9"/>
    </row>
    <row r="14" spans="1:9" ht="15" customHeight="1">
      <c r="A14" s="9" t="s">
        <v>86</v>
      </c>
      <c r="B14" s="9" t="s">
        <v>87</v>
      </c>
      <c r="C14" s="9" t="s">
        <v>33</v>
      </c>
      <c r="D14" s="9" t="s">
        <v>33</v>
      </c>
      <c r="E14" s="9">
        <v>12</v>
      </c>
      <c r="F14" s="9" t="s">
        <v>32</v>
      </c>
      <c r="G14" s="9" t="s">
        <v>88</v>
      </c>
      <c r="H14" s="9" t="s">
        <v>89</v>
      </c>
      <c r="I14" s="9"/>
    </row>
    <row r="15" spans="1:9" ht="15" customHeight="1">
      <c r="A15" s="9" t="s">
        <v>86</v>
      </c>
      <c r="B15" s="9" t="s">
        <v>87</v>
      </c>
      <c r="C15" s="9" t="s">
        <v>103</v>
      </c>
      <c r="D15" s="9" t="s">
        <v>33</v>
      </c>
      <c r="E15" s="9">
        <v>12</v>
      </c>
      <c r="F15" s="9" t="s">
        <v>32</v>
      </c>
      <c r="G15" s="9" t="s">
        <v>91</v>
      </c>
      <c r="H15" s="9" t="s">
        <v>89</v>
      </c>
      <c r="I15" s="9"/>
    </row>
    <row r="16" spans="1:9" ht="15" customHeight="1">
      <c r="A16" s="9" t="s">
        <v>86</v>
      </c>
      <c r="B16" s="9" t="s">
        <v>87</v>
      </c>
      <c r="C16" s="9" t="s">
        <v>104</v>
      </c>
      <c r="D16" s="9" t="s">
        <v>33</v>
      </c>
      <c r="E16" s="9">
        <v>12</v>
      </c>
      <c r="F16" s="9" t="s">
        <v>32</v>
      </c>
      <c r="G16" s="9" t="s">
        <v>94</v>
      </c>
      <c r="H16" s="9" t="s">
        <v>89</v>
      </c>
      <c r="I16" s="9"/>
    </row>
    <row r="17" spans="1:9" ht="15" customHeight="1">
      <c r="A17" s="9" t="s">
        <v>86</v>
      </c>
      <c r="B17" s="9" t="s">
        <v>87</v>
      </c>
      <c r="C17" s="9" t="s">
        <v>105</v>
      </c>
      <c r="D17" s="9" t="s">
        <v>33</v>
      </c>
      <c r="E17" s="9">
        <v>12</v>
      </c>
      <c r="F17" s="9" t="s">
        <v>32</v>
      </c>
      <c r="G17" s="9" t="s">
        <v>98</v>
      </c>
      <c r="H17" s="9" t="s">
        <v>89</v>
      </c>
      <c r="I17" s="9"/>
    </row>
    <row r="18" spans="1:9" ht="15" customHeight="1">
      <c r="A18" s="9" t="s">
        <v>106</v>
      </c>
      <c r="B18" s="9" t="s">
        <v>87</v>
      </c>
      <c r="C18" s="9" t="s">
        <v>36</v>
      </c>
      <c r="D18" s="9" t="s">
        <v>36</v>
      </c>
      <c r="E18" s="9">
        <v>90</v>
      </c>
      <c r="F18" s="9" t="s">
        <v>35</v>
      </c>
      <c r="G18" s="9" t="s">
        <v>88</v>
      </c>
      <c r="H18" s="9" t="s">
        <v>107</v>
      </c>
      <c r="I18" s="9"/>
    </row>
    <row r="19" spans="1:9" ht="15" customHeight="1">
      <c r="A19" s="9" t="s">
        <v>106</v>
      </c>
      <c r="B19" s="9" t="s">
        <v>87</v>
      </c>
      <c r="C19" s="9" t="s">
        <v>41</v>
      </c>
      <c r="D19" s="9" t="s">
        <v>41</v>
      </c>
      <c r="E19" s="9">
        <v>99</v>
      </c>
      <c r="F19" s="9" t="s">
        <v>40</v>
      </c>
      <c r="G19" s="9" t="s">
        <v>88</v>
      </c>
      <c r="H19" s="9" t="s">
        <v>107</v>
      </c>
      <c r="I19" s="9" t="s">
        <v>108</v>
      </c>
    </row>
  </sheetData>
  <dataValidations count="1">
    <dataValidation type="list" sqref="H2:H19" xr:uid="{00000000-0002-0000-0300-000000000000}">
      <formula1>"Active,Planned,Review Required,Deprecated"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Visit_Schedule</vt:lpstr>
      <vt:lpstr>Procedure_Matrix</vt:lpstr>
      <vt:lpstr>Raw_Visit_Mapping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jean mendes</cp:lastModifiedBy>
  <dcterms:modified xsi:type="dcterms:W3CDTF">2026-07-18T01:52:41Z</dcterms:modified>
</cp:coreProperties>
</file>